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4158360941d716cf/Programmation/CLD/"/>
    </mc:Choice>
  </mc:AlternateContent>
  <xr:revisionPtr revIDLastSave="209" documentId="10_ncr:40000_{5ED16232-3D33-4F0A-AD3B-4627972464D2}" xr6:coauthVersionLast="47" xr6:coauthVersionMax="47" xr10:uidLastSave="{5F13AD2A-38DD-46F1-8764-3AEBF74E2D72}"/>
  <bookViews>
    <workbookView xWindow="-120" yWindow="-120" windowWidth="29040" windowHeight="15840" xr2:uid="{00000000-000D-0000-FFFF-FFFF00000000}"/>
  </bookViews>
  <sheets>
    <sheet name="Feuil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7" i="1" l="1" a="1"/>
  <c r="D40" i="1" a="1"/>
  <c r="D26" i="1" a="1"/>
  <c r="D17" i="1" a="1"/>
  <c r="D20" i="1" a="1"/>
  <c r="D6" i="1" a="1"/>
  <c r="P7" i="1" a="1"/>
  <c r="P10" i="1" a="1"/>
  <c r="P18" i="1" a="1"/>
  <c r="D39" i="1" a="1"/>
  <c r="D35" i="1" a="1"/>
  <c r="D28" i="1" a="1"/>
  <c r="D19" i="1" a="1"/>
  <c r="D15" i="1" a="1"/>
  <c r="D8" i="1" a="1"/>
  <c r="P9" i="1" a="1"/>
  <c r="P17" i="1" a="1"/>
  <c r="P20" i="1" a="1"/>
  <c r="D36" i="1" a="1"/>
  <c r="D27" i="1" a="1"/>
  <c r="D30" i="1" a="1"/>
  <c r="D16" i="1" a="1"/>
  <c r="D7" i="1" a="1"/>
  <c r="D10" i="1" a="1"/>
  <c r="P6" i="1" a="1"/>
  <c r="P19" i="1" a="1"/>
  <c r="P15" i="1" a="1"/>
  <c r="D38" i="1" a="1"/>
  <c r="D29" i="1" a="1"/>
  <c r="D25" i="1" a="1"/>
  <c r="D18" i="1" a="1"/>
  <c r="D9" i="1" a="1"/>
  <c r="D5" i="1" a="1"/>
  <c r="P8" i="1" a="1"/>
  <c r="P16" i="1" a="1"/>
  <c r="P5" i="1" a="1"/>
  <c r="P5" i="1" l="1"/>
  <c r="P16" i="1"/>
  <c r="P8" i="1"/>
  <c r="D5" i="1"/>
  <c r="D9" i="1"/>
  <c r="D18" i="1"/>
  <c r="D25" i="1"/>
  <c r="D29" i="1"/>
  <c r="D38" i="1"/>
  <c r="P15" i="1"/>
  <c r="P19" i="1"/>
  <c r="P6" i="1"/>
  <c r="D10" i="1"/>
  <c r="D7" i="1"/>
  <c r="D16" i="1"/>
  <c r="D30" i="1"/>
  <c r="D27" i="1"/>
  <c r="D36" i="1"/>
  <c r="P20" i="1"/>
  <c r="P17" i="1"/>
  <c r="P9" i="1"/>
  <c r="D8" i="1"/>
  <c r="D15" i="1"/>
  <c r="D19" i="1"/>
  <c r="D28" i="1"/>
  <c r="D35" i="1"/>
  <c r="D39" i="1"/>
  <c r="P18" i="1"/>
  <c r="P10" i="1"/>
  <c r="P7" i="1"/>
  <c r="D6" i="1"/>
  <c r="D20" i="1"/>
  <c r="D17" i="1"/>
  <c r="D26" i="1"/>
  <c r="D40" i="1"/>
  <c r="D3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<sst xmlns="http://schemas.openxmlformats.org/spreadsheetml/2006/main" count="140" uniqueCount="16">
  <si>
    <t>Treatment 1</t>
  </si>
  <si>
    <t>Treatment 2</t>
  </si>
  <si>
    <t>Treatment 3</t>
  </si>
  <si>
    <t>Treatment 4</t>
  </si>
  <si>
    <t>Treatment 5</t>
  </si>
  <si>
    <t>Treatment 6</t>
  </si>
  <si>
    <t>Modality</t>
  </si>
  <si>
    <t>Mean</t>
  </si>
  <si>
    <t>Post-hoc result</t>
  </si>
  <si>
    <t>Letters</t>
  </si>
  <si>
    <t>Alpha = 5, descending letters</t>
  </si>
  <si>
    <t>Alpha = 10, descending letters</t>
  </si>
  <si>
    <t>Alpha = 5</t>
  </si>
  <si>
    <t>Alpha = 10</t>
  </si>
  <si>
    <t>Here a cell is missing or showing unexpected value, so the letters will not work</t>
  </si>
  <si>
    <t>Here, a whole modality is absent, but this does not prevent the code from working because all other pair wise comparisons are fully present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</si>
</sst>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0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D624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002A07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1" xfId="0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0" borderId="0" xfId="0" applyFont="1"/>
    <xf numFmtId="0" fontId="0" fillId="0" borderId="0" xfId="0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2A07"/>
      <color rgb="FFFF00FF"/>
      <color rgb="FF00D624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246531</xdr:colOff>
      <xdr:row>24</xdr:row>
      <xdr:rowOff>56441</xdr:rowOff>
    </xdr:from>
    <xdr:to>
      <xdr:col>22</xdr:col>
      <xdr:colOff>829236</xdr:colOff>
      <xdr:row>35</xdr:row>
      <xdr:rowOff>179294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2B4B3042-D2BD-BAFB-17EF-A427374B0D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46443" y="4628441"/>
          <a:ext cx="6723528" cy="2218353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B2:X40"/>
  <sheetViews>
    <sheetView tabSelected="1" zoomScale="85" zoomScaleNormal="85" workbookViewId="0"/>
  </sheetViews>
  <sheetFormatPr baseColWidth="10" defaultRowHeight="15" x14ac:dyDescent="0.25"/>
  <cols>
    <col min="1" max="1" width="3.7109375" customWidth="1"/>
    <col min="2" max="2" width="13.85546875" customWidth="1"/>
    <col min="4" max="4" width="12.42578125" customWidth="1"/>
    <col min="5" max="5" width="4.85546875" customWidth="1"/>
    <col min="6" max="6" width="14.85546875" customWidth="1"/>
    <col min="7" max="7" width="12" customWidth="1"/>
    <col min="8" max="8" width="12.140625" customWidth="1"/>
    <col min="9" max="9" width="12.7109375" customWidth="1"/>
    <col min="10" max="11" width="12.85546875" customWidth="1"/>
    <col min="12" max="12" width="12" customWidth="1"/>
    <col min="13" max="13" width="8" customWidth="1"/>
    <col min="14" max="14" width="13.85546875" customWidth="1"/>
    <col min="17" max="17" width="4.5703125" customWidth="1"/>
    <col min="18" max="18" width="15.5703125" customWidth="1"/>
    <col min="19" max="19" width="12.42578125" customWidth="1"/>
    <col min="20" max="21" width="12.140625" customWidth="1"/>
    <col min="22" max="22" width="12.42578125" customWidth="1"/>
    <col min="23" max="23" width="12.7109375" customWidth="1"/>
    <col min="24" max="24" width="12.42578125" customWidth="1"/>
  </cols>
  <sheetData>
    <row r="2" spans="2:24" x14ac:dyDescent="0.25">
      <c r="B2" s="4" t="s">
        <v>12</v>
      </c>
      <c r="N2" s="4" t="s">
        <v>10</v>
      </c>
    </row>
    <row r="4" spans="2:24" x14ac:dyDescent="0.25">
      <c r="B4" s="3" t="s">
        <v>6</v>
      </c>
      <c r="C4" s="3" t="s">
        <v>7</v>
      </c>
      <c r="D4" s="3" t="s">
        <v>9</v>
      </c>
      <c r="F4" s="3" t="s">
        <v>8</v>
      </c>
      <c r="G4" s="3" t="s">
        <v>0</v>
      </c>
      <c r="H4" s="3" t="s">
        <v>1</v>
      </c>
      <c r="I4" s="3" t="s">
        <v>2</v>
      </c>
      <c r="J4" s="3" t="s">
        <v>3</v>
      </c>
      <c r="K4" s="3" t="s">
        <v>4</v>
      </c>
      <c r="L4" s="3" t="s">
        <v>5</v>
      </c>
      <c r="N4" s="3" t="s">
        <v>6</v>
      </c>
      <c r="O4" s="3" t="s">
        <v>7</v>
      </c>
      <c r="P4" s="3" t="s">
        <v>9</v>
      </c>
      <c r="R4" s="3" t="s">
        <v>8</v>
      </c>
      <c r="S4" s="3" t="s">
        <v>0</v>
      </c>
      <c r="T4" s="3" t="s">
        <v>1</v>
      </c>
      <c r="U4" s="3" t="s">
        <v>2</v>
      </c>
      <c r="V4" s="3" t="s">
        <v>3</v>
      </c>
      <c r="W4" s="3" t="s">
        <v>4</v>
      </c>
      <c r="X4" s="3" t="s">
        <v>5</v>
      </c>
    </row>
    <row r="5" spans="2:24" x14ac:dyDescent="0.25">
      <c r="B5" s="3" t="s">
        <v>0</v>
      </c>
      <c r="C5" s="1">
        <v>50</v>
      </c>
      <c r="D5" s="1" t="str" cm="1">
        <f t="array" ref="D5">CLD($B$5:$C$10,$F$4:$L$10,$B5,5,"normal")</f>
        <v>a</v>
      </c>
      <c r="F5" s="3" t="s">
        <v>0</v>
      </c>
      <c r="G5" s="2"/>
      <c r="H5" s="1">
        <v>0.03</v>
      </c>
      <c r="I5" s="1">
        <v>1.5</v>
      </c>
      <c r="J5" s="1">
        <v>1.5</v>
      </c>
      <c r="K5" s="1">
        <v>1</v>
      </c>
      <c r="L5" s="1">
        <v>0.06</v>
      </c>
      <c r="N5" s="3" t="s">
        <v>0</v>
      </c>
      <c r="O5" s="1">
        <v>50</v>
      </c>
      <c r="P5" s="1" t="str" cm="1">
        <f t="array" ref="P5">CLD($N$5:$O$10,$R$4:$X$10,$N5,5,"descending")</f>
        <v>b</v>
      </c>
      <c r="R5" s="3" t="s">
        <v>0</v>
      </c>
      <c r="S5" s="2"/>
      <c r="T5" s="1">
        <v>0.03</v>
      </c>
      <c r="U5" s="1">
        <v>1.5</v>
      </c>
      <c r="V5" s="1">
        <v>1.5</v>
      </c>
      <c r="W5" s="1">
        <v>1</v>
      </c>
      <c r="X5" s="1">
        <v>0.06</v>
      </c>
    </row>
    <row r="6" spans="2:24" x14ac:dyDescent="0.25">
      <c r="B6" s="3" t="s">
        <v>1</v>
      </c>
      <c r="C6" s="1">
        <v>75</v>
      </c>
      <c r="D6" s="1" t="str" cm="1">
        <f t="array" ref="D6">CLD($B$5:$C$10,$F$4:$L$10,$B6,5,"normal")</f>
        <v>b</v>
      </c>
      <c r="F6" s="3" t="s">
        <v>1</v>
      </c>
      <c r="G6" s="2"/>
      <c r="H6" s="2"/>
      <c r="I6" s="1">
        <v>1.1000000000000001</v>
      </c>
      <c r="J6" s="1">
        <v>2.4</v>
      </c>
      <c r="K6" s="1">
        <v>1.2</v>
      </c>
      <c r="L6" s="1">
        <v>7.0000000000000007E-2</v>
      </c>
      <c r="N6" s="3" t="s">
        <v>1</v>
      </c>
      <c r="O6" s="1">
        <v>75</v>
      </c>
      <c r="P6" s="1" t="str" cm="1">
        <f t="array" ref="P6">CLD($N$5:$O$10,$R$4:$X$10,$N6,5,"descending")</f>
        <v>a</v>
      </c>
      <c r="R6" s="3" t="s">
        <v>1</v>
      </c>
      <c r="S6" s="2"/>
      <c r="T6" s="2"/>
      <c r="U6" s="1">
        <v>1.1000000000000001</v>
      </c>
      <c r="V6" s="1">
        <v>2.4</v>
      </c>
      <c r="W6" s="1">
        <v>1.2</v>
      </c>
      <c r="X6" s="1">
        <v>7.0000000000000007E-2</v>
      </c>
    </row>
    <row r="7" spans="2:24" x14ac:dyDescent="0.25">
      <c r="B7" s="3" t="s">
        <v>2</v>
      </c>
      <c r="C7" s="1">
        <v>29</v>
      </c>
      <c r="D7" s="1" t="str" cm="1">
        <f t="array" ref="D7">CLD($B$5:$C$10,$F$4:$L$10,$B7,5,"normal")</f>
        <v>ab</v>
      </c>
      <c r="F7" s="3" t="s">
        <v>2</v>
      </c>
      <c r="G7" s="2"/>
      <c r="H7" s="2"/>
      <c r="I7" s="2"/>
      <c r="J7" s="5">
        <v>1.4</v>
      </c>
      <c r="K7" s="1">
        <v>3.1</v>
      </c>
      <c r="L7" s="1">
        <v>6.5000000000000002E-2</v>
      </c>
      <c r="N7" s="3" t="s">
        <v>2</v>
      </c>
      <c r="O7" s="1">
        <v>29</v>
      </c>
      <c r="P7" s="1" t="str" cm="1">
        <f t="array" ref="P7">CLD($N$5:$O$10,$R$4:$X$10,$N7,5,"descending")</f>
        <v>ab</v>
      </c>
      <c r="R7" s="3" t="s">
        <v>2</v>
      </c>
      <c r="S7" s="2"/>
      <c r="T7" s="2"/>
      <c r="U7" s="2"/>
      <c r="V7" s="5">
        <v>1.4</v>
      </c>
      <c r="W7" s="1">
        <v>3.1</v>
      </c>
      <c r="X7" s="1">
        <v>6.5000000000000002E-2</v>
      </c>
    </row>
    <row r="8" spans="2:24" x14ac:dyDescent="0.25">
      <c r="B8" s="3" t="s">
        <v>3</v>
      </c>
      <c r="C8" s="1">
        <v>20</v>
      </c>
      <c r="D8" s="1" t="str" cm="1">
        <f t="array" ref="D8">CLD($B$5:$C$10,$F$4:$L$10,$B8,5,"normal")</f>
        <v>ab</v>
      </c>
      <c r="F8" s="3" t="s">
        <v>3</v>
      </c>
      <c r="G8" s="2"/>
      <c r="H8" s="2"/>
      <c r="I8" s="2"/>
      <c r="J8" s="2"/>
      <c r="K8" s="1">
        <v>0.5</v>
      </c>
      <c r="L8" s="1">
        <v>0.08</v>
      </c>
      <c r="N8" s="3" t="s">
        <v>3</v>
      </c>
      <c r="O8" s="1">
        <v>20</v>
      </c>
      <c r="P8" s="1" t="str" cm="1">
        <f t="array" ref="P8">CLD($N$5:$O$10,$R$4:$X$10,$N8,5,"descending")</f>
        <v>ab</v>
      </c>
      <c r="R8" s="3" t="s">
        <v>3</v>
      </c>
      <c r="S8" s="2"/>
      <c r="T8" s="2"/>
      <c r="U8" s="2"/>
      <c r="V8" s="2"/>
      <c r="W8" s="1">
        <v>0.5</v>
      </c>
      <c r="X8" s="1">
        <v>0.08</v>
      </c>
    </row>
    <row r="9" spans="2:24" x14ac:dyDescent="0.25">
      <c r="B9" s="3" t="s">
        <v>4</v>
      </c>
      <c r="C9" s="1">
        <v>10</v>
      </c>
      <c r="D9" s="1" t="str" cm="1">
        <f t="array" ref="D9">CLD($B$5:$C$10,$F$4:$L$10,$B9,5,"normal")</f>
        <v>ab</v>
      </c>
      <c r="F9" s="3" t="s">
        <v>4</v>
      </c>
      <c r="G9" s="2"/>
      <c r="H9" s="2"/>
      <c r="I9" s="2"/>
      <c r="J9" s="2"/>
      <c r="K9" s="2"/>
      <c r="L9" s="1">
        <v>0.06</v>
      </c>
      <c r="N9" s="3" t="s">
        <v>4</v>
      </c>
      <c r="O9" s="1">
        <v>10</v>
      </c>
      <c r="P9" s="1" t="str" cm="1">
        <f t="array" ref="P9">CLD($N$5:$O$10,$R$4:$X$10,$N9,5,"descending")</f>
        <v>ab</v>
      </c>
      <c r="R9" s="3" t="s">
        <v>4</v>
      </c>
      <c r="S9" s="2"/>
      <c r="T9" s="2"/>
      <c r="U9" s="2"/>
      <c r="V9" s="2"/>
      <c r="W9" s="2"/>
      <c r="X9" s="1">
        <v>0.06</v>
      </c>
    </row>
    <row r="10" spans="2:24" x14ac:dyDescent="0.25">
      <c r="B10" s="3" t="s">
        <v>5</v>
      </c>
      <c r="C10" s="1">
        <v>150</v>
      </c>
      <c r="D10" s="1" t="str" cm="1">
        <f t="array" ref="D10">CLD($B$5:$C$10,$F$4:$L$10,$B10,5,"normal")</f>
        <v>ab</v>
      </c>
      <c r="F10" s="3" t="s">
        <v>5</v>
      </c>
      <c r="G10" s="2"/>
      <c r="H10" s="2"/>
      <c r="I10" s="2"/>
      <c r="J10" s="2"/>
      <c r="K10" s="2"/>
      <c r="L10" s="2"/>
      <c r="N10" s="3" t="s">
        <v>5</v>
      </c>
      <c r="O10" s="1">
        <v>150</v>
      </c>
      <c r="P10" s="1" t="str" cm="1">
        <f t="array" ref="P10">CLD($N$5:$O$10,$R$4:$X$10,$N10,5,"descending")</f>
        <v>ab</v>
      </c>
      <c r="R10" s="3" t="s">
        <v>5</v>
      </c>
      <c r="S10" s="2"/>
      <c r="T10" s="2"/>
      <c r="U10" s="2"/>
      <c r="V10" s="2"/>
      <c r="W10" s="2"/>
      <c r="X10" s="2"/>
    </row>
    <row r="12" spans="2:24" x14ac:dyDescent="0.25">
      <c r="B12" s="4" t="s">
        <v>13</v>
      </c>
      <c r="N12" s="4" t="s">
        <v>11</v>
      </c>
    </row>
    <row r="14" spans="2:24" x14ac:dyDescent="0.25">
      <c r="B14" s="3" t="s">
        <v>6</v>
      </c>
      <c r="C14" s="3" t="s">
        <v>7</v>
      </c>
      <c r="D14" s="3" t="s">
        <v>9</v>
      </c>
      <c r="F14" s="3" t="s">
        <v>8</v>
      </c>
      <c r="G14" s="3" t="s">
        <v>0</v>
      </c>
      <c r="H14" s="3" t="s">
        <v>1</v>
      </c>
      <c r="I14" s="3" t="s">
        <v>2</v>
      </c>
      <c r="J14" s="3" t="s">
        <v>3</v>
      </c>
      <c r="K14" s="3" t="s">
        <v>4</v>
      </c>
      <c r="L14" s="3" t="s">
        <v>5</v>
      </c>
      <c r="N14" s="3" t="s">
        <v>6</v>
      </c>
      <c r="O14" s="3" t="s">
        <v>7</v>
      </c>
      <c r="P14" s="3" t="s">
        <v>9</v>
      </c>
      <c r="R14" s="10" t="s">
        <v>8</v>
      </c>
      <c r="S14" s="10" t="s">
        <v>0</v>
      </c>
      <c r="T14" s="10" t="s">
        <v>1</v>
      </c>
      <c r="U14" s="10" t="s">
        <v>2</v>
      </c>
      <c r="V14" s="10" t="s">
        <v>3</v>
      </c>
      <c r="W14" s="10" t="s">
        <v>4</v>
      </c>
      <c r="X14" s="10" t="s">
        <v>5</v>
      </c>
    </row>
    <row r="15" spans="2:24" x14ac:dyDescent="0.25">
      <c r="B15" s="3" t="s">
        <v>0</v>
      </c>
      <c r="C15" s="1">
        <v>50</v>
      </c>
      <c r="D15" s="1" t="str" cm="1">
        <f t="array" ref="D15">CLD($B$15:$C$20,$F$14:$L$20,$B15,10,"normal")</f>
        <v>a</v>
      </c>
      <c r="F15" s="3" t="s">
        <v>0</v>
      </c>
      <c r="G15" s="2"/>
      <c r="H15" s="1">
        <v>0.03</v>
      </c>
      <c r="I15" s="1">
        <v>1.5</v>
      </c>
      <c r="J15" s="1">
        <v>1.5</v>
      </c>
      <c r="K15" s="1">
        <v>1</v>
      </c>
      <c r="L15" s="1">
        <v>0.06</v>
      </c>
      <c r="N15" s="13" t="s">
        <v>0</v>
      </c>
      <c r="O15" s="9">
        <v>50</v>
      </c>
      <c r="P15" s="1" t="str" cm="1">
        <f t="array" ref="P15">CLD($N$15:$O$20,$R$14:$X$20,$N15,10,"descending")</f>
        <v>c</v>
      </c>
      <c r="R15" s="10" t="s">
        <v>0</v>
      </c>
      <c r="S15" s="14"/>
      <c r="T15" s="11">
        <v>0.03</v>
      </c>
      <c r="U15" s="11">
        <v>1.5</v>
      </c>
      <c r="V15" s="11">
        <v>1.5</v>
      </c>
      <c r="W15" s="11">
        <v>1</v>
      </c>
      <c r="X15" s="11">
        <v>0.06</v>
      </c>
    </row>
    <row r="16" spans="2:24" x14ac:dyDescent="0.25">
      <c r="B16" s="3" t="s">
        <v>1</v>
      </c>
      <c r="C16" s="1">
        <v>75</v>
      </c>
      <c r="D16" s="1" t="str" cm="1">
        <f t="array" ref="D16">CLD($B$15:$C$20,$F$14:$L$20,$B16,10,"normal")</f>
        <v>b</v>
      </c>
      <c r="F16" s="3" t="s">
        <v>1</v>
      </c>
      <c r="G16" s="2"/>
      <c r="H16" s="2"/>
      <c r="I16" s="1">
        <v>1.1000000000000001</v>
      </c>
      <c r="J16" s="1">
        <v>2.4</v>
      </c>
      <c r="K16" s="1">
        <v>1.2</v>
      </c>
      <c r="L16" s="1">
        <v>7.0000000000000007E-2</v>
      </c>
      <c r="N16" s="8" t="s">
        <v>1</v>
      </c>
      <c r="O16" s="9">
        <v>75</v>
      </c>
      <c r="P16" s="1" t="str" cm="1">
        <f t="array" ref="P16">CLD($N$15:$O$20,$R$14:$X$20,$N16,10,"descending")</f>
        <v>b</v>
      </c>
      <c r="R16" s="10" t="s">
        <v>1</v>
      </c>
      <c r="S16" s="14"/>
      <c r="T16" s="14"/>
      <c r="U16" s="11">
        <v>1.1000000000000001</v>
      </c>
      <c r="V16" s="11">
        <v>2.4</v>
      </c>
      <c r="W16" s="11">
        <v>1.2</v>
      </c>
      <c r="X16" s="11">
        <v>7.0000000000000007E-2</v>
      </c>
    </row>
    <row r="17" spans="2:24" x14ac:dyDescent="0.25">
      <c r="B17" s="3" t="s">
        <v>2</v>
      </c>
      <c r="C17" s="1">
        <v>29</v>
      </c>
      <c r="D17" s="1" t="str" cm="1">
        <f t="array" ref="D17">CLD($B$15:$C$20,$F$14:$L$20,$B17,10,"normal")</f>
        <v>ab</v>
      </c>
      <c r="F17" s="3" t="s">
        <v>2</v>
      </c>
      <c r="G17" s="2"/>
      <c r="H17" s="2"/>
      <c r="I17" s="2"/>
      <c r="J17" s="5">
        <v>1.4</v>
      </c>
      <c r="K17" s="1">
        <v>3.1</v>
      </c>
      <c r="L17" s="1">
        <v>6.5000000000000002E-2</v>
      </c>
      <c r="N17" s="8" t="s">
        <v>2</v>
      </c>
      <c r="O17" s="9">
        <v>29</v>
      </c>
      <c r="P17" s="1" t="str" cm="1">
        <f t="array" ref="P17">CLD($N$15:$O$20,$R$14:$X$20,$N17,10,"descending")</f>
        <v>bc</v>
      </c>
      <c r="R17" s="10" t="s">
        <v>2</v>
      </c>
      <c r="S17" s="14"/>
      <c r="T17" s="14"/>
      <c r="U17" s="14"/>
      <c r="V17" s="12">
        <v>1.4</v>
      </c>
      <c r="W17" s="11">
        <v>3.1</v>
      </c>
      <c r="X17" s="11">
        <v>6.5000000000000002E-2</v>
      </c>
    </row>
    <row r="18" spans="2:24" x14ac:dyDescent="0.25">
      <c r="B18" s="3" t="s">
        <v>3</v>
      </c>
      <c r="C18" s="1">
        <v>20</v>
      </c>
      <c r="D18" s="1" t="str" cm="1">
        <f t="array" ref="D18">CLD($B$15:$C$20,$F$14:$L$20,$B18,10,"normal")</f>
        <v>ab</v>
      </c>
      <c r="F18" s="3" t="s">
        <v>3</v>
      </c>
      <c r="G18" s="2"/>
      <c r="H18" s="2"/>
      <c r="I18" s="2"/>
      <c r="J18" s="2"/>
      <c r="K18" s="1">
        <v>0.5</v>
      </c>
      <c r="L18" s="1">
        <v>0.08</v>
      </c>
      <c r="N18" s="8" t="s">
        <v>3</v>
      </c>
      <c r="O18" s="9">
        <v>20</v>
      </c>
      <c r="P18" s="1" t="str" cm="1">
        <f t="array" ref="P18">CLD($N$15:$O$20,$R$14:$X$20,$N18,10,"descending")</f>
        <v>bc</v>
      </c>
      <c r="R18" s="10" t="s">
        <v>3</v>
      </c>
      <c r="S18" s="14"/>
      <c r="T18" s="14"/>
      <c r="U18" s="14"/>
      <c r="V18" s="14"/>
      <c r="W18" s="11">
        <v>0.5</v>
      </c>
      <c r="X18" s="11">
        <v>0.08</v>
      </c>
    </row>
    <row r="19" spans="2:24" x14ac:dyDescent="0.25">
      <c r="B19" s="3" t="s">
        <v>4</v>
      </c>
      <c r="C19" s="1">
        <v>10</v>
      </c>
      <c r="D19" s="1" t="str" cm="1">
        <f t="array" ref="D19">CLD($B$15:$C$20,$F$14:$L$20,$B19,10,"normal")</f>
        <v>ab</v>
      </c>
      <c r="F19" s="3" t="s">
        <v>4</v>
      </c>
      <c r="G19" s="2"/>
      <c r="H19" s="2"/>
      <c r="I19" s="2"/>
      <c r="J19" s="2"/>
      <c r="K19" s="2"/>
      <c r="L19" s="1">
        <v>0.06</v>
      </c>
      <c r="N19" s="8" t="s">
        <v>4</v>
      </c>
      <c r="O19" s="9">
        <v>10</v>
      </c>
      <c r="P19" s="1" t="str" cm="1">
        <f t="array" ref="P19">CLD($N$15:$O$20,$R$14:$X$20,$N19,10,"descending")</f>
        <v>bc</v>
      </c>
      <c r="R19" s="10" t="s">
        <v>4</v>
      </c>
      <c r="S19" s="14"/>
      <c r="T19" s="14"/>
      <c r="U19" s="14"/>
      <c r="V19" s="14"/>
      <c r="W19" s="14"/>
      <c r="X19" s="11">
        <v>0.06</v>
      </c>
    </row>
    <row r="20" spans="2:24" x14ac:dyDescent="0.25">
      <c r="B20" s="3" t="s">
        <v>5</v>
      </c>
      <c r="C20" s="1">
        <v>150</v>
      </c>
      <c r="D20" s="1" t="str" cm="1">
        <f t="array" ref="D20">CLD($B$15:$C$20,$F$14:$L$20,$B20,10,"normal")</f>
        <v>c</v>
      </c>
      <c r="F20" s="3" t="s">
        <v>5</v>
      </c>
      <c r="G20" s="2"/>
      <c r="H20" s="2"/>
      <c r="I20" s="2"/>
      <c r="J20" s="2"/>
      <c r="K20" s="2"/>
      <c r="L20" s="2"/>
      <c r="N20" s="8" t="s">
        <v>5</v>
      </c>
      <c r="O20" s="9">
        <v>150</v>
      </c>
      <c r="P20" s="1" t="str" cm="1">
        <f t="array" ref="P20">CLD($N$15:$O$20,$R$14:$X$20,$N20,10,"descending")</f>
        <v>a</v>
      </c>
      <c r="R20" s="10" t="s">
        <v>5</v>
      </c>
      <c r="S20" s="14"/>
      <c r="T20" s="14"/>
      <c r="U20" s="14"/>
      <c r="V20" s="14"/>
      <c r="W20" s="14"/>
      <c r="X20" s="14"/>
    </row>
    <row r="22" spans="2:24" x14ac:dyDescent="0.25">
      <c r="B22" s="4" t="s">
        <v>12</v>
      </c>
      <c r="C22" s="4" t="s">
        <v>14</v>
      </c>
    </row>
    <row r="24" spans="2:24" x14ac:dyDescent="0.25">
      <c r="B24" s="3" t="s">
        <v>6</v>
      </c>
      <c r="C24" s="3" t="s">
        <v>7</v>
      </c>
      <c r="D24" s="3" t="s">
        <v>9</v>
      </c>
      <c r="F24" s="3" t="s">
        <v>8</v>
      </c>
      <c r="G24" s="3" t="s">
        <v>0</v>
      </c>
      <c r="H24" s="3" t="s">
        <v>1</v>
      </c>
      <c r="I24" s="3" t="s">
        <v>2</v>
      </c>
      <c r="J24" s="3" t="s">
        <v>3</v>
      </c>
      <c r="K24" s="3" t="s">
        <v>4</v>
      </c>
      <c r="L24" s="3" t="s">
        <v>5</v>
      </c>
    </row>
    <row r="25" spans="2:24" x14ac:dyDescent="0.25">
      <c r="B25" s="3" t="s">
        <v>0</v>
      </c>
      <c r="C25" s="1">
        <v>50</v>
      </c>
      <c r="D25" s="6" t="str" cm="1">
        <f t="array" ref="D25">CLD($B$25:$C$30,$F$24:$L$30,$B25,5,"normal")</f>
        <v/>
      </c>
      <c r="F25" s="3" t="s">
        <v>0</v>
      </c>
      <c r="G25" s="2"/>
      <c r="H25" s="1">
        <v>0.03</v>
      </c>
      <c r="I25" s="1">
        <v>1.5</v>
      </c>
      <c r="J25" s="1">
        <v>1.5</v>
      </c>
      <c r="K25" s="1">
        <v>1</v>
      </c>
      <c r="L25" s="1">
        <v>0.06</v>
      </c>
    </row>
    <row r="26" spans="2:24" x14ac:dyDescent="0.25">
      <c r="B26" s="3" t="s">
        <v>1</v>
      </c>
      <c r="C26" s="1">
        <v>75</v>
      </c>
      <c r="D26" s="6" t="str" cm="1">
        <f t="array" ref="D26">CLD($B$25:$C$30,$F$24:$L$30,$B26,5,"normal")</f>
        <v/>
      </c>
      <c r="F26" s="3" t="s">
        <v>1</v>
      </c>
      <c r="G26" s="2"/>
      <c r="H26" s="2"/>
      <c r="I26" s="1">
        <v>1.1000000000000001</v>
      </c>
      <c r="J26" s="6"/>
      <c r="K26" s="1">
        <v>1.2</v>
      </c>
      <c r="L26" s="1">
        <v>7.0000000000000007E-2</v>
      </c>
    </row>
    <row r="27" spans="2:24" x14ac:dyDescent="0.25">
      <c r="B27" s="3" t="s">
        <v>2</v>
      </c>
      <c r="C27" s="1">
        <v>29</v>
      </c>
      <c r="D27" s="6" t="str" cm="1">
        <f t="array" ref="D27">CLD($B$25:$C$30,$F$24:$L$30,$B27,5,"normal")</f>
        <v/>
      </c>
      <c r="F27" s="3" t="s">
        <v>2</v>
      </c>
      <c r="G27" s="2"/>
      <c r="H27" s="2"/>
      <c r="I27" s="2"/>
      <c r="J27" s="5">
        <v>1.4</v>
      </c>
      <c r="K27" s="1">
        <v>3.1</v>
      </c>
      <c r="L27" s="1">
        <v>6.5000000000000002E-2</v>
      </c>
    </row>
    <row r="28" spans="2:24" x14ac:dyDescent="0.25">
      <c r="B28" s="3" t="s">
        <v>3</v>
      </c>
      <c r="C28" s="1">
        <v>20</v>
      </c>
      <c r="D28" s="6" t="str" cm="1">
        <f t="array" ref="D28">CLD($B$25:$C$30,$F$24:$L$30,$B28,5,"normal")</f>
        <v/>
      </c>
      <c r="F28" s="3" t="s">
        <v>3</v>
      </c>
      <c r="G28" s="2"/>
      <c r="H28" s="2"/>
      <c r="I28" s="2"/>
      <c r="J28" s="2"/>
      <c r="K28" s="1">
        <v>0.5</v>
      </c>
      <c r="L28" s="1">
        <v>0.08</v>
      </c>
    </row>
    <row r="29" spans="2:24" x14ac:dyDescent="0.25">
      <c r="B29" s="3" t="s">
        <v>4</v>
      </c>
      <c r="C29" s="1">
        <v>10</v>
      </c>
      <c r="D29" s="6" t="str" cm="1">
        <f t="array" ref="D29">CLD($B$25:$C$30,$F$24:$L$30,$B29,5,"normal")</f>
        <v/>
      </c>
      <c r="F29" s="3" t="s">
        <v>4</v>
      </c>
      <c r="G29" s="2"/>
      <c r="H29" s="2"/>
      <c r="I29" s="2"/>
      <c r="J29" s="2"/>
      <c r="K29" s="2"/>
      <c r="L29" s="1">
        <v>0.06</v>
      </c>
    </row>
    <row r="30" spans="2:24" x14ac:dyDescent="0.25">
      <c r="B30" s="3" t="s">
        <v>5</v>
      </c>
      <c r="C30" s="1">
        <v>150</v>
      </c>
      <c r="D30" s="6" t="str" cm="1">
        <f t="array" ref="D30">CLD($B$25:$C$30,$F$24:$L$30,$B30,5,"normal")</f>
        <v/>
      </c>
      <c r="F30" s="3" t="s">
        <v>5</v>
      </c>
      <c r="G30" s="2"/>
      <c r="H30" s="2"/>
      <c r="I30" s="2"/>
      <c r="J30" s="2"/>
      <c r="K30" s="2"/>
      <c r="L30" s="2"/>
    </row>
    <row r="32" spans="2:24" x14ac:dyDescent="0.25">
      <c r="B32" s="4" t="s">
        <v>12</v>
      </c>
      <c r="C32" s="4" t="s">
        <v>15</v>
      </c>
    </row>
    <row r="34" spans="2:12" x14ac:dyDescent="0.25">
      <c r="B34" s="3" t="s">
        <v>6</v>
      </c>
      <c r="C34" s="3" t="s">
        <v>7</v>
      </c>
      <c r="D34" s="3" t="s">
        <v>9</v>
      </c>
      <c r="F34" s="3" t="s">
        <v>8</v>
      </c>
      <c r="G34" s="3" t="s">
        <v>0</v>
      </c>
      <c r="H34" s="3" t="s">
        <v>1</v>
      </c>
      <c r="I34" s="3" t="s">
        <v>2</v>
      </c>
      <c r="J34" s="3" t="s">
        <v>3</v>
      </c>
      <c r="K34" s="3" t="s">
        <v>4</v>
      </c>
      <c r="L34" s="3" t="s">
        <v>5</v>
      </c>
    </row>
    <row r="35" spans="2:12" x14ac:dyDescent="0.25">
      <c r="B35" s="3" t="s">
        <v>0</v>
      </c>
      <c r="C35" s="1">
        <v>50</v>
      </c>
      <c r="D35" s="1" t="str" cm="1">
        <f t="array" ref="D35">CLD($B$35:$C$40,$F$34:$L$40,$B35,5,"normal")</f>
        <v>a</v>
      </c>
      <c r="F35" s="3" t="s">
        <v>0</v>
      </c>
      <c r="G35" s="2"/>
      <c r="H35" s="1">
        <v>0.03</v>
      </c>
      <c r="I35" s="1">
        <v>1.5</v>
      </c>
      <c r="J35" s="6"/>
      <c r="K35" s="1">
        <v>1</v>
      </c>
      <c r="L35" s="1">
        <v>0.06</v>
      </c>
    </row>
    <row r="36" spans="2:12" x14ac:dyDescent="0.25">
      <c r="B36" s="3" t="s">
        <v>1</v>
      </c>
      <c r="C36" s="1">
        <v>75</v>
      </c>
      <c r="D36" s="1" t="str" cm="1">
        <f t="array" ref="D36">CLD($B$35:$C$40,$F$34:$L$40,$B36,5,"normal")</f>
        <v>b</v>
      </c>
      <c r="F36" s="3" t="s">
        <v>1</v>
      </c>
      <c r="G36" s="2"/>
      <c r="H36" s="2"/>
      <c r="I36" s="1">
        <v>1.1000000000000001</v>
      </c>
      <c r="J36" s="6"/>
      <c r="K36" s="1">
        <v>1.2</v>
      </c>
      <c r="L36" s="1">
        <v>7.0000000000000007E-2</v>
      </c>
    </row>
    <row r="37" spans="2:12" x14ac:dyDescent="0.25">
      <c r="B37" s="3" t="s">
        <v>2</v>
      </c>
      <c r="C37" s="1">
        <v>29</v>
      </c>
      <c r="D37" s="1" t="str" cm="1">
        <f t="array" ref="D37">CLD($B$35:$C$40,$F$34:$L$40,$B37,5,"normal")</f>
        <v>ab</v>
      </c>
      <c r="F37" s="3" t="s">
        <v>2</v>
      </c>
      <c r="G37" s="2"/>
      <c r="H37" s="2"/>
      <c r="I37" s="2"/>
      <c r="J37" s="7"/>
      <c r="K37" s="1">
        <v>3.1</v>
      </c>
      <c r="L37" s="1">
        <v>6.5000000000000002E-2</v>
      </c>
    </row>
    <row r="38" spans="2:12" x14ac:dyDescent="0.25">
      <c r="B38" s="3" t="s">
        <v>3</v>
      </c>
      <c r="C38" s="1">
        <v>20</v>
      </c>
      <c r="D38" s="6" t="str" cm="1">
        <f t="array" ref="D38">CLD($B$35:$C$40,$F$34:$L$40,$B38,5,"normal")</f>
        <v/>
      </c>
      <c r="F38" s="3" t="s">
        <v>3</v>
      </c>
      <c r="G38" s="2"/>
      <c r="H38" s="2"/>
      <c r="I38" s="2"/>
      <c r="J38" s="2"/>
      <c r="K38" s="6"/>
      <c r="L38" s="6"/>
    </row>
    <row r="39" spans="2:12" x14ac:dyDescent="0.25">
      <c r="B39" s="3" t="s">
        <v>4</v>
      </c>
      <c r="C39" s="1">
        <v>10</v>
      </c>
      <c r="D39" s="1" t="str" cm="1">
        <f t="array" ref="D39">CLD($B$35:$C$40,$F$34:$L$40,$B39,5,"normal")</f>
        <v>ab</v>
      </c>
      <c r="F39" s="3" t="s">
        <v>4</v>
      </c>
      <c r="G39" s="2"/>
      <c r="H39" s="2"/>
      <c r="I39" s="2"/>
      <c r="J39" s="2"/>
      <c r="K39" s="2"/>
      <c r="L39" s="1">
        <v>0.06</v>
      </c>
    </row>
    <row r="40" spans="2:12" x14ac:dyDescent="0.25">
      <c r="B40" s="3" t="s">
        <v>5</v>
      </c>
      <c r="C40" s="1">
        <v>150</v>
      </c>
      <c r="D40" s="1" t="str" cm="1">
        <f t="array" ref="D40">CLD($B$35:$C$40,$F$34:$L$40,$B40,5,"normal")</f>
        <v>ab</v>
      </c>
      <c r="F40" s="3" t="s">
        <v>5</v>
      </c>
      <c r="G40" s="2"/>
      <c r="H40" s="2"/>
      <c r="I40" s="2"/>
      <c r="J40" s="2"/>
      <c r="K40" s="2"/>
      <c r="L40" s="2"/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LERNER Lou</dc:creator>
  <cp:lastModifiedBy>LERNER Lou</cp:lastModifiedBy>
  <dcterms:created xsi:type="dcterms:W3CDTF">2024-03-12T12:20:32Z</dcterms:created>
  <dcterms:modified xsi:type="dcterms:W3CDTF">2024-03-12T15:44:02Z</dcterms:modified>
</cp:coreProperties>
</file>